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y/Downloads/"/>
    </mc:Choice>
  </mc:AlternateContent>
  <xr:revisionPtr revIDLastSave="0" documentId="13_ncr:1_{AC31EAEF-EB21-F14E-AFBB-72E9BFE61DB6}" xr6:coauthVersionLast="47" xr6:coauthVersionMax="47" xr10:uidLastSave="{00000000-0000-0000-0000-000000000000}"/>
  <bookViews>
    <workbookView xWindow="0" yWindow="0" windowWidth="28800" windowHeight="18000" xr2:uid="{EE5E3AB4-A02B-C24D-B76A-B5E10B3B5A52}"/>
  </bookViews>
  <sheets>
    <sheet name="Book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F9" i="1"/>
  <c r="F7" i="1"/>
  <c r="F6" i="1"/>
  <c r="F8" i="1" l="1"/>
</calcChain>
</file>

<file path=xl/sharedStrings.xml><?xml version="1.0" encoding="utf-8"?>
<sst xmlns="http://schemas.openxmlformats.org/spreadsheetml/2006/main" count="24" uniqueCount="20">
  <si>
    <t>Date</t>
  </si>
  <si>
    <t>Task Refusal</t>
  </si>
  <si>
    <t>Notes</t>
  </si>
  <si>
    <t>High refusal during transitions</t>
  </si>
  <si>
    <t>Similar pattern</t>
  </si>
  <si>
    <t xml:space="preserve">Slight improvement </t>
  </si>
  <si>
    <t>Responded to visual schedule</t>
  </si>
  <si>
    <t>Fewer refusals in the morning</t>
  </si>
  <si>
    <t>Consistent with last week</t>
  </si>
  <si>
    <t>Reinforcement effective</t>
  </si>
  <si>
    <t xml:space="preserve">Improved compliance </t>
  </si>
  <si>
    <t>Plateau</t>
  </si>
  <si>
    <t>Best day so far</t>
  </si>
  <si>
    <t>Task Compliance</t>
  </si>
  <si>
    <t>Metric</t>
  </si>
  <si>
    <t>Value</t>
  </si>
  <si>
    <t>Percent Reduction</t>
  </si>
  <si>
    <t>Total days</t>
  </si>
  <si>
    <t>Baseline Avg(Jan 1-3)</t>
  </si>
  <si>
    <t>Intervention Avg (Jan 4-12)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</si>
</sst>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2" borderId="0" xfId="1"/>
    <xf numFmtId="9" fontId="1" fillId="2" borderId="0" xfId="1" applyNumberFormat="1"/>
    <xf numFmtId="0" fontId="3" fillId="2" borderId="0" xfId="1" applyFont="1"/>
  </cellXfs>
  <cellStyles count="2">
    <cellStyle name="40% - Accent1" xfId="1" builtinId="31"/>
    <cellStyle name="Normal" xfId="0" builtinId="0"/>
  </cellStyles>
  <dxfs count="11"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1" formatCode="d\-m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Refusal Over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1'!$B$1</c:f>
              <c:strCache>
                <c:ptCount val="1"/>
                <c:pt idx="0">
                  <c:v>Task Refusal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3657935615190961E-4"/>
                  <c:y val="0.11362831858407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'Book 1'!$A$2:$A$11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46030</c:v>
                </c:pt>
                <c:pt idx="6">
                  <c:v>46031</c:v>
                </c:pt>
                <c:pt idx="7">
                  <c:v>46032</c:v>
                </c:pt>
                <c:pt idx="8">
                  <c:v>46033</c:v>
                </c:pt>
                <c:pt idx="9">
                  <c:v>46034</c:v>
                </c:pt>
              </c:numCache>
            </c:numRef>
          </c:cat>
          <c:val>
            <c:numRef>
              <c:f>'Book 1'!$B$2:$B$11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F5-E648-82E8-4C4027103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025536"/>
        <c:axId val="248027248"/>
      </c:lineChart>
      <c:dateAx>
        <c:axId val="24802553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27248"/>
        <c:crosses val="autoZero"/>
        <c:auto val="1"/>
        <c:lblOffset val="100"/>
        <c:baseTimeUnit val="days"/>
      </c:dateAx>
      <c:valAx>
        <c:axId val="2480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2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 Refusal vs Task Compliance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1'!$B$13</c:f>
              <c:strCache>
                <c:ptCount val="1"/>
                <c:pt idx="0">
                  <c:v>Task Refusal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'Book 1'!$A$14:$A$23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46030</c:v>
                </c:pt>
                <c:pt idx="6">
                  <c:v>46031</c:v>
                </c:pt>
                <c:pt idx="7">
                  <c:v>46032</c:v>
                </c:pt>
                <c:pt idx="8">
                  <c:v>46033</c:v>
                </c:pt>
                <c:pt idx="9">
                  <c:v>46034</c:v>
                </c:pt>
              </c:numCache>
            </c:numRef>
          </c:cat>
          <c:val>
            <c:numRef>
              <c:f>'Book 1'!$B$14:$B$23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5-1541-BABF-59471DDC3E3A}"/>
            </c:ext>
          </c:extLst>
        </c:ser>
        <c:ser>
          <c:idx val="1"/>
          <c:order val="1"/>
          <c:tx>
            <c:strRef>
              <c:f>'Book 1'!$C$13</c:f>
              <c:strCache>
                <c:ptCount val="1"/>
                <c:pt idx="0">
                  <c:v>Task Compliance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'Book 1'!$A$14:$A$23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46030</c:v>
                </c:pt>
                <c:pt idx="6">
                  <c:v>46031</c:v>
                </c:pt>
                <c:pt idx="7">
                  <c:v>46032</c:v>
                </c:pt>
                <c:pt idx="8">
                  <c:v>46033</c:v>
                </c:pt>
                <c:pt idx="9">
                  <c:v>46034</c:v>
                </c:pt>
              </c:numCache>
            </c:numRef>
          </c:cat>
          <c:val>
            <c:numRef>
              <c:f>'Book 1'!$C$14:$C$23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5-1541-BABF-59471DDC3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4011808"/>
        <c:axId val="394013520"/>
      </c:lineChart>
      <c:dateAx>
        <c:axId val="39401180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13520"/>
        <c:crosses val="autoZero"/>
        <c:auto val="1"/>
        <c:lblOffset val="100"/>
        <c:baseTimeUnit val="days"/>
      </c:dateAx>
      <c:valAx>
        <c:axId val="39401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1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127000</xdr:rowOff>
    </xdr:from>
    <xdr:to>
      <xdr:col>12</xdr:col>
      <xdr:colOff>190500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3294B6-918E-5D4F-BCD9-296C0F942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825500</xdr:colOff>
      <xdr:row>24</xdr:row>
      <xdr:rowOff>12700</xdr:rowOff>
    </xdr:from>
    <xdr:to>
      <xdr:col>12</xdr:col>
      <xdr:colOff>203200</xdr:colOff>
      <xdr:row>38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2BED61-98EB-5646-AE2C-BD53AE7C9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76200</xdr:colOff>
      <xdr:row>0</xdr:row>
      <xdr:rowOff>25400</xdr:rowOff>
    </xdr:from>
    <xdr:to>
      <xdr:col>12</xdr:col>
      <xdr:colOff>431800</xdr:colOff>
      <xdr:row>3</xdr:row>
      <xdr:rowOff>127000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57C3F1-9267-0B47-B032-74422858D75C}"/>
            </a:ext>
          </a:extLst>
        </xdr:cNvPr>
        <xdr:cNvSpPr txBox="1"/>
      </xdr:nvSpPr>
      <xdr:spPr>
        <a:xfrm>
          <a:off x="7277100" y="25400"/>
          <a:ext cx="6083300" cy="71120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/>
            <a:t>Over a two‑week period, task refusal decreased from 12 to 5 instances per day, while task compliance increased from 3 to 10. The introduction of a visual schedule and reinforcement coincided with a steady reduction in refusal behavior, suggesting the intervention was effective.</a:t>
          </a:r>
        </a:p>
      </xdr:txBody>
    </xdr:sp>
    <xdr:clientData/>
  </xdr:twoCellAnchor>
  <xdr:twoCellAnchor>
    <xdr:from>
      <xdr:col>4</xdr:col>
      <xdr:colOff>0</xdr:colOff>
      <xdr:row>1</xdr:row>
      <xdr:rowOff>12700</xdr:rowOff>
    </xdr:from>
    <xdr:to>
      <xdr:col>4</xdr:col>
      <xdr:colOff>2171700</xdr:colOff>
      <xdr:row>3</xdr:row>
      <xdr:rowOff>12700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5E33E8-EEC5-1545-85E5-90F024E17D30}"/>
            </a:ext>
          </a:extLst>
        </xdr:cNvPr>
        <xdr:cNvSpPr txBox="1"/>
      </xdr:nvSpPr>
      <xdr:spPr>
        <a:xfrm>
          <a:off x="4902200" y="215900"/>
          <a:ext cx="2171700" cy="406400"/>
        </a:xfrm>
        <a:prstGeom prst="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Summary of findings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5EAF27-F01A-3E45-968C-8B84BE5767C3}" name="Table1" displayName="Table1" ref="A1:C11" totalsRowShown="0">
  <autoFilter ref="A1:C11" xr:uid="{0B5EAF27-F01A-3E45-968C-8B84BE5767C3}"/>
  <tableColumns count="3">
    <tableColumn id="1" xr3:uid="{BED46447-FF56-C643-AFA9-88FF3066FC29}" name="Date" dataDxfId="2"/>
    <tableColumn id="2" xr3:uid="{A9613C75-B9C7-0748-A714-933CF2575B7C}" name="Task Refusal" dataDxfId="1"/>
    <tableColumn id="3" xr3:uid="{40858BB5-DE52-6345-A955-900DEDF4CAAF}" name="Note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6E994-4D86-CB49-80DE-3D89E65B6A31}" name="Table2" displayName="Table2" ref="A25:B34" totalsRowShown="0" dataDxfId="10">
  <autoFilter ref="A25:B34" xr:uid="{C2C6E994-4D86-CB49-80DE-3D89E65B6A31}"/>
  <tableColumns count="2">
    <tableColumn id="1" xr3:uid="{17297DC4-49E2-3345-8D80-0DB4F3B2192D}" name="Date" dataDxfId="9"/>
    <tableColumn id="2" xr3:uid="{CC700029-94C3-2A42-A6EB-7AE25B05CC0B}" name="Task Complianc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8D31C-73E2-BA45-AE95-626ECB634A74}" name="Table3" displayName="Table3" ref="A13:C23" totalsRowShown="0" headerRowDxfId="7" dataDxfId="6">
  <autoFilter ref="A13:C23" xr:uid="{B888D31C-73E2-BA45-AE95-626ECB634A74}"/>
  <tableColumns count="3">
    <tableColumn id="1" xr3:uid="{3E526E04-865E-E046-A97C-FEEE1B7B1371}" name="Date" dataDxfId="5">
      <calculatedColumnFormula>'Book 1'!A2</calculatedColumnFormula>
    </tableColumn>
    <tableColumn id="2" xr3:uid="{0115F7C8-6006-924E-8567-011EE6DDFF64}" name="Task Refusal" dataDxfId="4"/>
    <tableColumn id="3" xr3:uid="{AED8B3C0-53F4-084B-B069-A652B43837DD}" name="Task Compliance" dataDxfId="3">
      <calculatedColumnFormula>'Book 1'!B26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E553-6707-0D4C-8365-3029ED44C5FF}">
  <dimension ref="A1:J35"/>
  <sheetViews>
    <sheetView tabSelected="1" workbookViewId="0">
      <selection activeCell="C32" sqref="C32"/>
    </sheetView>
  </sheetViews>
  <sheetFormatPr baseColWidth="10" defaultRowHeight="16" x14ac:dyDescent="0.2"/>
  <cols>
    <col min="2" max="2" width="16.33203125" customWidth="1"/>
    <col min="3" max="3" width="26.1640625" customWidth="1"/>
    <col min="4" max="4" width="11" customWidth="1"/>
    <col min="5" max="5" width="30.1640625" customWidth="1"/>
    <col min="6" max="6" width="17.5" customWidth="1"/>
    <col min="9" max="9" width="5.6640625" customWidth="1"/>
    <col min="10" max="10" width="8.6640625" customWidth="1"/>
  </cols>
  <sheetData>
    <row r="1" spans="1:6" x14ac:dyDescent="0.2">
      <c r="A1" s="1" t="s">
        <v>0</v>
      </c>
      <c r="B1" s="1" t="s">
        <v>1</v>
      </c>
      <c r="C1" s="3" t="s">
        <v>2</v>
      </c>
    </row>
    <row r="2" spans="1:6" x14ac:dyDescent="0.2">
      <c r="A2" s="2">
        <v>46023</v>
      </c>
      <c r="B2" s="1">
        <v>12</v>
      </c>
      <c r="C2" s="3" t="s">
        <v>3</v>
      </c>
    </row>
    <row r="3" spans="1:6" x14ac:dyDescent="0.2">
      <c r="A3" s="2">
        <v>46024</v>
      </c>
      <c r="B3" s="1">
        <v>11</v>
      </c>
      <c r="C3" s="3" t="s">
        <v>4</v>
      </c>
    </row>
    <row r="4" spans="1:6" x14ac:dyDescent="0.2">
      <c r="A4" s="2">
        <v>46025</v>
      </c>
      <c r="B4" s="1">
        <v>10</v>
      </c>
      <c r="C4" s="3" t="s">
        <v>5</v>
      </c>
      <c r="D4" s="4"/>
    </row>
    <row r="5" spans="1:6" x14ac:dyDescent="0.2">
      <c r="A5" s="2">
        <v>46026</v>
      </c>
      <c r="B5" s="1">
        <v>9</v>
      </c>
      <c r="C5" s="3" t="s">
        <v>6</v>
      </c>
      <c r="E5" s="7" t="s">
        <v>14</v>
      </c>
      <c r="F5" s="7" t="s">
        <v>15</v>
      </c>
    </row>
    <row r="6" spans="1:6" x14ac:dyDescent="0.2">
      <c r="A6" s="2">
        <v>46027</v>
      </c>
      <c r="B6" s="1">
        <v>8</v>
      </c>
      <c r="C6" s="3" t="s">
        <v>7</v>
      </c>
      <c r="E6" s="7" t="s">
        <v>18</v>
      </c>
      <c r="F6" s="5">
        <f>AVERAGE(B1:B4)</f>
        <v>11</v>
      </c>
    </row>
    <row r="7" spans="1:6" x14ac:dyDescent="0.2">
      <c r="A7" s="2">
        <v>46030</v>
      </c>
      <c r="B7" s="1">
        <v>8</v>
      </c>
      <c r="C7" s="3" t="s">
        <v>8</v>
      </c>
      <c r="E7" s="7" t="s">
        <v>19</v>
      </c>
      <c r="F7" s="5">
        <f>AVERAGE(B5:B11)</f>
        <v>7</v>
      </c>
    </row>
    <row r="8" spans="1:6" x14ac:dyDescent="0.2">
      <c r="A8" s="2">
        <v>46031</v>
      </c>
      <c r="B8" s="1">
        <v>7</v>
      </c>
      <c r="C8" s="3" t="s">
        <v>9</v>
      </c>
      <c r="E8" s="7" t="s">
        <v>16</v>
      </c>
      <c r="F8" s="6">
        <f>(F6-F7)/F6</f>
        <v>0.36363636363636365</v>
      </c>
    </row>
    <row r="9" spans="1:6" x14ac:dyDescent="0.2">
      <c r="A9" s="2">
        <v>46032</v>
      </c>
      <c r="B9" s="1">
        <v>6</v>
      </c>
      <c r="C9" s="3" t="s">
        <v>10</v>
      </c>
      <c r="E9" s="7" t="s">
        <v>17</v>
      </c>
      <c r="F9" s="5">
        <f>COUNTA(B2:B11)</f>
        <v>10</v>
      </c>
    </row>
    <row r="10" spans="1:6" x14ac:dyDescent="0.2">
      <c r="A10" s="2">
        <v>46033</v>
      </c>
      <c r="B10" s="1">
        <v>6</v>
      </c>
      <c r="C10" s="3" t="s">
        <v>11</v>
      </c>
    </row>
    <row r="11" spans="1:6" x14ac:dyDescent="0.2">
      <c r="A11" s="2">
        <v>46034</v>
      </c>
      <c r="B11" s="1">
        <v>5</v>
      </c>
      <c r="C11" s="3" t="s">
        <v>12</v>
      </c>
    </row>
    <row r="12" spans="1:6" x14ac:dyDescent="0.2">
      <c r="C12" s="3"/>
    </row>
    <row r="13" spans="1:6" x14ac:dyDescent="0.2">
      <c r="A13" s="4" t="s">
        <v>0</v>
      </c>
      <c r="B13" s="4" t="s">
        <v>1</v>
      </c>
      <c r="C13" s="1" t="s">
        <v>13</v>
      </c>
    </row>
    <row r="14" spans="1:6" x14ac:dyDescent="0.2">
      <c r="A14" s="2">
        <f>'Book 1'!A2</f>
        <v>46023</v>
      </c>
      <c r="B14" s="1">
        <f xml:space="preserve"> 'Book 1'!B2</f>
        <v>12</v>
      </c>
      <c r="C14" s="1">
        <f>'Book 1'!B26</f>
        <v>3</v>
      </c>
    </row>
    <row r="15" spans="1:6" x14ac:dyDescent="0.2">
      <c r="A15" s="2">
        <f>'Book 1'!A3</f>
        <v>46024</v>
      </c>
      <c r="B15" s="1">
        <f>'Book 1'!B3</f>
        <v>11</v>
      </c>
      <c r="C15" s="1">
        <f>'Book 1'!B27</f>
        <v>4</v>
      </c>
    </row>
    <row r="16" spans="1:6" x14ac:dyDescent="0.2">
      <c r="A16" s="2">
        <f>'Book 1'!A4</f>
        <v>46025</v>
      </c>
      <c r="B16" s="1">
        <f>'Book 1'!B4</f>
        <v>10</v>
      </c>
      <c r="C16" s="1">
        <f>'Book 1'!B28</f>
        <v>5</v>
      </c>
    </row>
    <row r="17" spans="1:3" x14ac:dyDescent="0.2">
      <c r="A17" s="2">
        <f>'Book 1'!A5</f>
        <v>46026</v>
      </c>
      <c r="B17" s="1">
        <f>'Book 1'!B5</f>
        <v>9</v>
      </c>
      <c r="C17" s="1">
        <f>'Book 1'!B29</f>
        <v>6</v>
      </c>
    </row>
    <row r="18" spans="1:3" x14ac:dyDescent="0.2">
      <c r="A18" s="2">
        <f>'Book 1'!A6</f>
        <v>46027</v>
      </c>
      <c r="B18" s="1">
        <f>'Book 1'!B6</f>
        <v>8</v>
      </c>
      <c r="C18" s="1">
        <f>'Book 1'!B30</f>
        <v>7</v>
      </c>
    </row>
    <row r="19" spans="1:3" x14ac:dyDescent="0.2">
      <c r="A19" s="2">
        <f>'Book 1'!A7</f>
        <v>46030</v>
      </c>
      <c r="B19" s="1">
        <f>'Book 1'!B7</f>
        <v>8</v>
      </c>
      <c r="C19" s="1">
        <f>'Book 1'!B31</f>
        <v>7</v>
      </c>
    </row>
    <row r="20" spans="1:3" x14ac:dyDescent="0.2">
      <c r="A20" s="2">
        <f>'Book 1'!A8</f>
        <v>46031</v>
      </c>
      <c r="B20" s="1">
        <f>'Book 1'!B8</f>
        <v>7</v>
      </c>
      <c r="C20" s="1">
        <f>'Book 1'!B32</f>
        <v>8</v>
      </c>
    </row>
    <row r="21" spans="1:3" x14ac:dyDescent="0.2">
      <c r="A21" s="2">
        <f>'Book 1'!A9</f>
        <v>46032</v>
      </c>
      <c r="B21" s="1">
        <f>'Book 1'!B9</f>
        <v>6</v>
      </c>
      <c r="C21" s="1">
        <f>'Book 1'!B33</f>
        <v>9</v>
      </c>
    </row>
    <row r="22" spans="1:3" x14ac:dyDescent="0.2">
      <c r="A22" s="2">
        <f>'Book 1'!A10</f>
        <v>46033</v>
      </c>
      <c r="B22" s="1">
        <f>'Book 1'!B10</f>
        <v>6</v>
      </c>
      <c r="C22" s="1">
        <f>'Book 1'!B34</f>
        <v>9</v>
      </c>
    </row>
    <row r="23" spans="1:3" x14ac:dyDescent="0.2">
      <c r="A23" s="2">
        <f>'Book 1'!A11</f>
        <v>46034</v>
      </c>
      <c r="B23" s="1">
        <f>'Book 1'!B11</f>
        <v>5</v>
      </c>
      <c r="C23" s="1">
        <f>'Book 1'!B35</f>
        <v>10</v>
      </c>
    </row>
    <row r="25" spans="1:3" x14ac:dyDescent="0.2">
      <c r="A25" t="s">
        <v>0</v>
      </c>
      <c r="B25" t="s">
        <v>13</v>
      </c>
    </row>
    <row r="26" spans="1:3" x14ac:dyDescent="0.2">
      <c r="A26" s="2">
        <v>46023</v>
      </c>
      <c r="B26" s="1">
        <v>3</v>
      </c>
    </row>
    <row r="27" spans="1:3" x14ac:dyDescent="0.2">
      <c r="A27" s="2">
        <v>46024</v>
      </c>
      <c r="B27" s="1">
        <v>4</v>
      </c>
    </row>
    <row r="28" spans="1:3" x14ac:dyDescent="0.2">
      <c r="A28" s="2">
        <v>46025</v>
      </c>
      <c r="B28" s="1">
        <v>5</v>
      </c>
    </row>
    <row r="29" spans="1:3" x14ac:dyDescent="0.2">
      <c r="A29" s="2">
        <v>46026</v>
      </c>
      <c r="B29" s="1">
        <v>6</v>
      </c>
    </row>
    <row r="30" spans="1:3" x14ac:dyDescent="0.2">
      <c r="A30" s="2">
        <v>46027</v>
      </c>
      <c r="B30" s="1">
        <v>7</v>
      </c>
    </row>
    <row r="31" spans="1:3" x14ac:dyDescent="0.2">
      <c r="A31" s="2">
        <v>46030</v>
      </c>
      <c r="B31" s="1">
        <v>7</v>
      </c>
    </row>
    <row r="32" spans="1:3" x14ac:dyDescent="0.2">
      <c r="A32" s="2">
        <v>46031</v>
      </c>
      <c r="B32" s="1">
        <v>8</v>
      </c>
    </row>
    <row r="33" spans="1:2" x14ac:dyDescent="0.2">
      <c r="A33" s="2">
        <v>46032</v>
      </c>
      <c r="B33" s="1">
        <v>9</v>
      </c>
    </row>
    <row r="34" spans="1:2" x14ac:dyDescent="0.2">
      <c r="A34" s="2">
        <v>46033</v>
      </c>
      <c r="B34" s="1">
        <v>9</v>
      </c>
    </row>
    <row r="35" spans="1:2" x14ac:dyDescent="0.2">
      <c r="A35" s="2">
        <v>46034</v>
      </c>
      <c r="B35" s="1">
        <v>10</v>
      </c>
    </row>
  </sheetData>
  <phoneticPr fontId="2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Rosangela Herrera Suarez</dc:creator>
  <cp:lastModifiedBy>Rosangela Herrera Suarez</cp:lastModifiedBy>
  <dcterms:created xsi:type="dcterms:W3CDTF">2026-02-07T20:21:52Z</dcterms:created>
  <dcterms:modified xsi:type="dcterms:W3CDTF">2026-02-07T21:42:19Z</dcterms:modified>
</cp:coreProperties>
</file>